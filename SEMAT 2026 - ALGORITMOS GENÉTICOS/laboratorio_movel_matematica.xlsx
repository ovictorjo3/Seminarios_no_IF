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cildo Araújo\Downloads\"/>
    </mc:Choice>
  </mc:AlternateContent>
  <xr:revisionPtr revIDLastSave="0" documentId="13_ncr:1_{715DA872-81BA-40A9-9669-0721E60A70DF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Ativida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L24" i="1" s="1"/>
  <c r="J24" i="1"/>
  <c r="K23" i="1"/>
  <c r="J23" i="1"/>
  <c r="L23" i="1" s="1"/>
  <c r="K22" i="1"/>
  <c r="J22" i="1"/>
  <c r="L22" i="1" s="1"/>
  <c r="K21" i="1"/>
  <c r="J21" i="1"/>
  <c r="L21" i="1" s="1"/>
  <c r="K20" i="1"/>
  <c r="L20" i="1" s="1"/>
  <c r="J20" i="1"/>
  <c r="K19" i="1"/>
  <c r="J19" i="1"/>
  <c r="L19" i="1" s="1"/>
  <c r="M19" i="1" l="1"/>
  <c r="M20" i="1"/>
  <c r="M21" i="1"/>
  <c r="M23" i="1"/>
  <c r="M22" i="1"/>
  <c r="M24" i="1"/>
  <c r="S9" i="1" l="1"/>
  <c r="S8" i="1"/>
  <c r="W12" i="1" l="1"/>
  <c r="W15" i="1" s="1"/>
  <c r="R12" i="1"/>
  <c r="R14" i="1" s="1"/>
  <c r="R16" i="1" s="1"/>
  <c r="Q12" i="1"/>
  <c r="Q14" i="1" s="1"/>
  <c r="Q16" i="1" s="1"/>
  <c r="P12" i="1"/>
  <c r="V12" i="1"/>
  <c r="V15" i="1" s="1"/>
  <c r="U12" i="1"/>
  <c r="U15" i="1" s="1"/>
  <c r="T12" i="1"/>
  <c r="T15" i="1" s="1"/>
  <c r="S12" i="1"/>
  <c r="S14" i="1" s="1"/>
  <c r="S16" i="1" s="1"/>
  <c r="U13" i="1"/>
  <c r="U14" i="1" s="1"/>
  <c r="U16" i="1" s="1"/>
  <c r="T13" i="1"/>
  <c r="T14" i="1" s="1"/>
  <c r="T16" i="1" s="1"/>
  <c r="P13" i="1"/>
  <c r="W13" i="1"/>
  <c r="W14" i="1" s="1"/>
  <c r="W16" i="1" s="1"/>
  <c r="V13" i="1"/>
  <c r="V14" i="1" s="1"/>
  <c r="V16" i="1" s="1"/>
  <c r="S13" i="1"/>
  <c r="S15" i="1" s="1"/>
  <c r="R13" i="1"/>
  <c r="R15" i="1" s="1"/>
  <c r="Q13" i="1"/>
  <c r="Q15" i="1" s="1"/>
  <c r="Y13" i="1" l="1"/>
  <c r="X13" i="1"/>
  <c r="Z13" i="1" s="1"/>
  <c r="P15" i="1"/>
  <c r="X12" i="1"/>
  <c r="P14" i="1"/>
  <c r="Y12" i="1"/>
  <c r="Y14" i="1" l="1"/>
  <c r="X14" i="1"/>
  <c r="P16" i="1"/>
  <c r="Z12" i="1"/>
  <c r="Y15" i="1"/>
  <c r="X15" i="1"/>
  <c r="Z14" i="1" l="1"/>
  <c r="Z15" i="1"/>
  <c r="Y16" i="1"/>
  <c r="X16" i="1"/>
  <c r="Z16" i="1" l="1"/>
  <c r="S10" i="1" l="1"/>
  <c r="Q17" i="1" l="1"/>
  <c r="P17" i="1"/>
  <c r="R17" i="1"/>
  <c r="W17" i="1"/>
  <c r="T17" i="1"/>
  <c r="S17" i="1"/>
  <c r="V17" i="1"/>
  <c r="U17" i="1"/>
  <c r="Y17" i="1" l="1"/>
  <c r="X17" i="1"/>
  <c r="Z17" i="1" s="1"/>
</calcChain>
</file>

<file path=xl/sharedStrings.xml><?xml version="1.0" encoding="utf-8"?>
<sst xmlns="http://schemas.openxmlformats.org/spreadsheetml/2006/main" count="84" uniqueCount="67">
  <si>
    <t>Laboratório móvel de Matemática — atividade com algoritmo genético</t>
  </si>
  <si>
    <t>Orçamento máximo (R$)</t>
  </si>
  <si>
    <t>Penalidade por excesso</t>
  </si>
  <si>
    <t>Materiais disponíveis</t>
  </si>
  <si>
    <t>Seleção, cruzamento e mutação</t>
  </si>
  <si>
    <t>Item</t>
  </si>
  <si>
    <t>Material</t>
  </si>
  <si>
    <t>Custo</t>
  </si>
  <si>
    <t>Utilidade</t>
  </si>
  <si>
    <t>Jogo de réguas</t>
  </si>
  <si>
    <t>Ponto de corte</t>
  </si>
  <si>
    <t>Linha Pai 1</t>
  </si>
  <si>
    <t>Compasso</t>
  </si>
  <si>
    <t>Posição da mutação</t>
  </si>
  <si>
    <t>Linha Pai 2</t>
  </si>
  <si>
    <t>Bloco de papel quadriculado</t>
  </si>
  <si>
    <t>Linha Melhor Final</t>
  </si>
  <si>
    <t>Cartolina e papel colorido</t>
  </si>
  <si>
    <t>Etapa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</si>
  <si>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</si>
  <si>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</si>
  <si>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</si>
  <si>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</si>
  <si>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</si>
  <si>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</si>
  <si>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</si>
  <si>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</si>
  <si>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Aptidão</t>
  </si>
  <si>
    <t>Fita métrica</t>
  </si>
  <si>
    <t>Pai 1</t>
  </si>
  <si>
    <t>Calculadora simples</t>
  </si>
  <si>
    <t>Pai 2</t>
  </si>
  <si>
    <t>Kit de sólidos geométricos</t>
  </si>
  <si>
    <t>Filho 1</t>
  </si>
  <si>
    <t>Material para dobraduras</t>
  </si>
  <si>
    <t>Filho 2</t>
  </si>
  <si>
    <t>Filho 1 mutado</t>
  </si>
  <si>
    <t>População inicial</t>
  </si>
  <si>
    <t>Melhor solução final</t>
  </si>
  <si>
    <t>Indivíduo</t>
  </si>
  <si>
    <t>Ranking</t>
  </si>
  <si>
    <t>Indivíduo 1</t>
  </si>
  <si>
    <t>Indivíduo 2</t>
  </si>
  <si>
    <t>Perguntas para discussão</t>
  </si>
  <si>
    <t>Indivíduo 3</t>
  </si>
  <si>
    <t>1.</t>
  </si>
  <si>
    <t>Qual foi o melhor indivíduo da população inicial?</t>
  </si>
  <si>
    <t>Indivíduo 4</t>
  </si>
  <si>
    <t>2.</t>
  </si>
  <si>
    <t>O melhor filho ficou melhor ou pior do que os pais?</t>
  </si>
  <si>
    <t>Indivíduo 5</t>
  </si>
  <si>
    <t>3.</t>
  </si>
  <si>
    <t>A mutação melhorou a solução? Em que caso ela piorou?</t>
  </si>
  <si>
    <t>Indivíduo 6</t>
  </si>
  <si>
    <t>4.</t>
  </si>
  <si>
    <t>Por que nem sempre escolher mais materiais produz a melhor aptidão?</t>
  </si>
  <si>
    <t>5.</t>
  </si>
  <si>
    <t>Que outras situações reais podem ser modeladas como uma mochila?</t>
  </si>
  <si>
    <t>Roteiro rápido para os alunos</t>
  </si>
  <si>
    <t>Observe o orçamento e a tabela de materiais.</t>
  </si>
  <si>
    <t>Edite os bits dos indivíduos na população inicial, usando 0 para excluir e 1 para incluir.</t>
  </si>
  <si>
    <t>Compare custo, utilidade e aptidão. Os dois melhores indivíduos viram os pais.</t>
  </si>
  <si>
    <t>Altere o ponto de corte e a posição da mutação para ver novos filhos.</t>
  </si>
  <si>
    <t>Compare a melhor solução inicial com a melhor solução final obtida após cruzamento e mutação.</t>
  </si>
  <si>
    <t>6.</t>
  </si>
  <si>
    <t>Discuta por que soluções acima do orçamento sofrem penalização.</t>
  </si>
  <si>
    <t>Utilidade Pedagógica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</si>
</sst>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>
    <font>
      <sz val="11"/>
      <name val="Carlito"/>
    </font>
    <font>
      <b/>
      <sz val="11"/>
      <color rgb="FF1F1F1F"/>
      <name val="Carlito"/>
    </font>
    <font>
      <b/>
      <sz val="11"/>
      <color rgb="FFFFFFFF"/>
      <name val="Carlito"/>
    </font>
    <font>
      <sz val="11"/>
      <name val="Carlito"/>
    </font>
    <font>
      <b/>
      <sz val="16"/>
      <color theme="0"/>
      <name val="Carlito"/>
    </font>
    <font>
      <sz val="11"/>
      <color theme="0"/>
      <name val="Carlito"/>
    </font>
    <font>
      <b/>
      <sz val="11"/>
      <color theme="0"/>
      <name val="Carlito"/>
    </font>
    <font>
      <b/>
      <sz val="11"/>
      <color theme="1"/>
      <name val="Carlito"/>
    </font>
    <font>
      <sz val="11"/>
      <color theme="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3">
    <xf numFmtId="0" fontId="0" fillId="0" borderId="0" xfId="0"/>
    <xf numFmtId="0" fontId="0" fillId="0" borderId="2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0" fillId="0" borderId="2" xfId="0" applyNumberFormat="1" applyBorder="1"/>
    <xf numFmtId="1" fontId="0" fillId="0" borderId="4" xfId="0" applyNumberFormat="1" applyBorder="1"/>
    <xf numFmtId="0" fontId="2" fillId="4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" fillId="2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2" fillId="5" borderId="5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2" fillId="6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4" fontId="0" fillId="0" borderId="9" xfId="1" applyFon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8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8" fillId="0" borderId="5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4" fillId="6" borderId="0" xfId="0" applyFont="1" applyFill="1" applyAlignment="1">
      <alignment horizontal="center" vertical="center"/>
    </xf>
    <xf numFmtId="0" fontId="5" fillId="6" borderId="0" xfId="0" applyFont="1" applyFill="1"/>
    <xf numFmtId="0" fontId="6" fillId="6" borderId="9" xfId="0" applyFont="1" applyFill="1" applyBorder="1" applyAlignment="1">
      <alignment horizontal="center" vertical="center"/>
    </xf>
    <xf numFmtId="0" fontId="5" fillId="6" borderId="9" xfId="0" applyFont="1" applyFill="1" applyBorder="1"/>
    <xf numFmtId="0" fontId="1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</cellXfs>
  <cellStyles count="2">
    <cellStyle name="Moeda" xfId="1" builtinId="4"/>
    <cellStyle name="Normal" xfId="0" builtinId="0"/>
  </cellStyles>
  <dxfs count="3">
    <dxf>
      <font>
        <b/>
        <color rgb="FFC0392B"/>
      </font>
      <fill>
        <patternFill patternType="solid">
          <bgColor rgb="FFFDEDEC"/>
        </patternFill>
      </fill>
    </dxf>
    <dxf>
      <font>
        <b/>
        <color rgb="FF1E8449"/>
      </font>
      <fill>
        <patternFill patternType="solid">
          <bgColor rgb="FFE2F0D9"/>
        </patternFill>
      </fill>
    </dxf>
    <dxf>
      <font>
        <b/>
        <color rgb="FFC0392B"/>
      </font>
      <fill>
        <patternFill patternType="solid">
          <bgColor rgb="FFFDED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topLeftCell="A9" zoomScaleNormal="100" workbookViewId="0">
      <selection activeCell="B32" sqref="B32:M32"/>
    </sheetView>
  </sheetViews>
  <sheetFormatPr defaultRowHeight="13.8"/>
  <cols>
    <col min="1" max="1" width="22.5" bestFit="1" customWidth="1"/>
    <col min="2" max="2" width="23.8984375" bestFit="1" customWidth="1"/>
    <col min="3" max="3" width="9.3984375" bestFit="1" customWidth="1"/>
    <col min="4" max="4" width="19.5" bestFit="1" customWidth="1"/>
    <col min="5" max="9" width="9" customWidth="1"/>
    <col min="10" max="12" width="11" customWidth="1"/>
    <col min="13" max="13" width="10" customWidth="1"/>
    <col min="15" max="15" width="18" customWidth="1"/>
    <col min="16" max="17" width="9" customWidth="1"/>
    <col min="18" max="18" width="16" customWidth="1"/>
    <col min="19" max="19" width="10" customWidth="1"/>
    <col min="20" max="23" width="9" customWidth="1"/>
    <col min="24" max="26" width="11" customWidth="1"/>
  </cols>
  <sheetData>
    <row r="1" spans="1:26" ht="19.2" customHeight="1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3" spans="1:26">
      <c r="A3" s="3" t="s">
        <v>1</v>
      </c>
      <c r="B3" s="5">
        <v>120</v>
      </c>
    </row>
    <row r="4" spans="1:26">
      <c r="A4" s="4" t="s">
        <v>2</v>
      </c>
      <c r="B4" s="6">
        <v>5</v>
      </c>
    </row>
    <row r="6" spans="1:26">
      <c r="A6" s="38" t="s">
        <v>3</v>
      </c>
      <c r="B6" s="39"/>
      <c r="C6" s="39"/>
      <c r="D6" s="39"/>
      <c r="O6" s="40" t="s">
        <v>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>
      <c r="A7" s="20" t="s">
        <v>5</v>
      </c>
      <c r="B7" s="20" t="s">
        <v>6</v>
      </c>
      <c r="C7" s="20" t="s">
        <v>7</v>
      </c>
      <c r="D7" s="20" t="s">
        <v>66</v>
      </c>
    </row>
    <row r="8" spans="1:26">
      <c r="A8" s="21">
        <v>1</v>
      </c>
      <c r="B8" s="22" t="s">
        <v>9</v>
      </c>
      <c r="C8" s="23">
        <v>15</v>
      </c>
      <c r="D8" s="24">
        <v>8</v>
      </c>
      <c r="O8" s="3" t="s">
        <v>10</v>
      </c>
      <c r="P8" s="1">
        <v>4</v>
      </c>
      <c r="R8" s="3" t="s">
        <v>11</v>
      </c>
      <c r="S8" s="1">
        <f>SUMPRODUCT(($M$19:$M$24=1)*(ROW($M$19:$M$24)-18))</f>
        <v>5</v>
      </c>
    </row>
    <row r="9" spans="1:26">
      <c r="A9" s="21">
        <v>2</v>
      </c>
      <c r="B9" s="22" t="s">
        <v>12</v>
      </c>
      <c r="C9" s="23">
        <v>18</v>
      </c>
      <c r="D9" s="24">
        <v>9</v>
      </c>
      <c r="O9" s="4" t="s">
        <v>13</v>
      </c>
      <c r="P9" s="2">
        <v>3</v>
      </c>
      <c r="R9" s="12" t="s">
        <v>14</v>
      </c>
      <c r="S9" s="10">
        <f>SUMPRODUCT(($M$19:$M$24=2)*(ROW($M$19:$M$24)-18))</f>
        <v>4</v>
      </c>
    </row>
    <row r="10" spans="1:26">
      <c r="A10" s="21">
        <v>3</v>
      </c>
      <c r="B10" s="22" t="s">
        <v>15</v>
      </c>
      <c r="C10" s="23">
        <v>12</v>
      </c>
      <c r="D10" s="24">
        <v>6</v>
      </c>
      <c r="R10" s="4" t="s">
        <v>16</v>
      </c>
      <c r="S10" s="2">
        <f>SUMPRODUCT(($Z$12:$Z$16=MAX($Z$12:$Z$16))*(ROW($Z$12:$Z$16)-11))</f>
        <v>4</v>
      </c>
    </row>
    <row r="11" spans="1:26">
      <c r="A11" s="21">
        <v>4</v>
      </c>
      <c r="B11" s="22" t="s">
        <v>17</v>
      </c>
      <c r="C11" s="23">
        <v>10</v>
      </c>
      <c r="D11" s="24">
        <v>5</v>
      </c>
      <c r="O11" s="7" t="s">
        <v>18</v>
      </c>
      <c r="P11" s="8" t="s">
        <v>19</v>
      </c>
      <c r="Q11" s="8" t="s">
        <v>20</v>
      </c>
      <c r="R11" s="8" t="s">
        <v>21</v>
      </c>
      <c r="S11" s="8" t="s">
        <v>22</v>
      </c>
      <c r="T11" s="8" t="s">
        <v>23</v>
      </c>
      <c r="U11" s="8" t="s">
        <v>24</v>
      </c>
      <c r="V11" s="8" t="s">
        <v>25</v>
      </c>
      <c r="W11" s="8" t="s">
        <v>26</v>
      </c>
      <c r="X11" s="8" t="s">
        <v>7</v>
      </c>
      <c r="Y11" s="8" t="s">
        <v>8</v>
      </c>
      <c r="Z11" s="9" t="s">
        <v>27</v>
      </c>
    </row>
    <row r="12" spans="1:26">
      <c r="A12" s="21">
        <v>5</v>
      </c>
      <c r="B12" s="22" t="s">
        <v>28</v>
      </c>
      <c r="C12" s="23">
        <v>14</v>
      </c>
      <c r="D12" s="24">
        <v>7</v>
      </c>
      <c r="O12" s="12" t="s">
        <v>29</v>
      </c>
      <c r="P12">
        <f>INDEX($B$19:$B$24,$S$8)</f>
        <v>0</v>
      </c>
      <c r="Q12">
        <f>INDEX($C$19:$C$24,$S$8)</f>
        <v>1</v>
      </c>
      <c r="R12">
        <f>INDEX($D$19:$D$24,$S$8)</f>
        <v>0</v>
      </c>
      <c r="S12">
        <f>INDEX($E$19:$E$24,$S$8)</f>
        <v>1</v>
      </c>
      <c r="T12" s="18">
        <f>INDEX($F$19:$F$24,$S$8)</f>
        <v>1</v>
      </c>
      <c r="U12" s="18">
        <f>INDEX($G$19:$G$24,$S$8)</f>
        <v>1</v>
      </c>
      <c r="V12" s="18">
        <f>INDEX($H$19:$H$24,$S$8)</f>
        <v>1</v>
      </c>
      <c r="W12" s="18">
        <f>INDEX($I$19:$I$24,$S$8)</f>
        <v>0</v>
      </c>
      <c r="X12">
        <f t="shared" ref="X12:X17" si="0">P12*$C$8+Q12*$C$9+R12*$C$10+S12*$C$11+T12*$C$12+U12*$C$13+V12*$C$14+W12*$C$15</f>
        <v>102</v>
      </c>
      <c r="Y12">
        <f t="shared" ref="Y12:Y17" si="1">P12*$D$8+Q12*$D$9+R12*$D$10+S12*$D$11+T12*$D$12+U12*$D$13+V12*$D$14+W12*$D$15</f>
        <v>46</v>
      </c>
      <c r="Z12" s="10">
        <f t="shared" ref="Z12:Z17" si="2">IF(X12&lt;=$B$3,Y12,Y12-$B$4*(X12-$B$3))</f>
        <v>46</v>
      </c>
    </row>
    <row r="13" spans="1:26">
      <c r="A13" s="21">
        <v>6</v>
      </c>
      <c r="B13" s="22" t="s">
        <v>30</v>
      </c>
      <c r="C13" s="23">
        <v>25</v>
      </c>
      <c r="D13" s="24">
        <v>10</v>
      </c>
      <c r="O13" s="12" t="s">
        <v>31</v>
      </c>
      <c r="P13">
        <f>INDEX($B$19:$B$24,$S$9)</f>
        <v>1</v>
      </c>
      <c r="Q13">
        <f>INDEX($C$19:$C$24,$S$9)</f>
        <v>0</v>
      </c>
      <c r="R13">
        <f>INDEX($D$19:$D$24,$S$9)</f>
        <v>1</v>
      </c>
      <c r="S13">
        <f>INDEX($E$19:$E$24,$S$9)</f>
        <v>1</v>
      </c>
      <c r="T13" s="19">
        <f>INDEX($F$19:$F$24,$S$9)</f>
        <v>1</v>
      </c>
      <c r="U13" s="19">
        <f>INDEX($G$19:$G$24,$S$9)</f>
        <v>0</v>
      </c>
      <c r="V13" s="19">
        <f>INDEX($H$19:$H$24,$S$9)</f>
        <v>1</v>
      </c>
      <c r="W13" s="19">
        <f>INDEX($I$19:$I$24,$S$9)</f>
        <v>0</v>
      </c>
      <c r="X13">
        <f t="shared" si="0"/>
        <v>86</v>
      </c>
      <c r="Y13">
        <f t="shared" si="1"/>
        <v>41</v>
      </c>
      <c r="Z13" s="10">
        <f t="shared" si="2"/>
        <v>41</v>
      </c>
    </row>
    <row r="14" spans="1:26">
      <c r="A14" s="21">
        <v>7</v>
      </c>
      <c r="B14" s="22" t="s">
        <v>32</v>
      </c>
      <c r="C14" s="23">
        <v>35</v>
      </c>
      <c r="D14" s="24">
        <v>15</v>
      </c>
      <c r="O14" s="12" t="s">
        <v>33</v>
      </c>
      <c r="P14">
        <f>IF(COLUMNS($P14:P14)&lt;=$P$8,P12,P13)</f>
        <v>0</v>
      </c>
      <c r="Q14">
        <f>IF(COLUMNS($P14:Q14)&lt;=$P$8,Q12,Q13)</f>
        <v>1</v>
      </c>
      <c r="R14">
        <f>IF(COLUMNS($P14:R14)&lt;=$P$8,R12,R13)</f>
        <v>0</v>
      </c>
      <c r="S14">
        <f>IF(COLUMNS($P14:S14)&lt;=$P$8,S12,S13)</f>
        <v>1</v>
      </c>
      <c r="T14">
        <f>IF(COLUMNS($P14:T14)&lt;=$P$8,T12,T13)</f>
        <v>1</v>
      </c>
      <c r="U14">
        <f>IF(COLUMNS($P14:U14)&lt;=$P$8,U12,U13)</f>
        <v>0</v>
      </c>
      <c r="V14">
        <f>IF(COLUMNS($P14:V14)&lt;=$P$8,V12,V13)</f>
        <v>1</v>
      </c>
      <c r="W14">
        <f>IF(COLUMNS($P14:W14)&lt;=$P$8,W12,W13)</f>
        <v>0</v>
      </c>
      <c r="X14">
        <f t="shared" si="0"/>
        <v>77</v>
      </c>
      <c r="Y14">
        <f t="shared" si="1"/>
        <v>36</v>
      </c>
      <c r="Z14" s="10">
        <f t="shared" si="2"/>
        <v>36</v>
      </c>
    </row>
    <row r="15" spans="1:26">
      <c r="A15" s="21">
        <v>8</v>
      </c>
      <c r="B15" s="22" t="s">
        <v>34</v>
      </c>
      <c r="C15" s="23">
        <v>16</v>
      </c>
      <c r="D15" s="24">
        <v>7</v>
      </c>
      <c r="O15" s="12" t="s">
        <v>35</v>
      </c>
      <c r="P15">
        <f>IF(COLUMNS($P15:P15)&lt;=$P$8,P13,P12)</f>
        <v>1</v>
      </c>
      <c r="Q15">
        <f>IF(COLUMNS($P15:Q15)&lt;=$P$8,Q13,Q12)</f>
        <v>0</v>
      </c>
      <c r="R15">
        <f>IF(COLUMNS($P15:R15)&lt;=$P$8,R13,R12)</f>
        <v>1</v>
      </c>
      <c r="S15">
        <f>IF(COLUMNS($P15:S15)&lt;=$P$8,S13,S12)</f>
        <v>1</v>
      </c>
      <c r="T15">
        <f>IF(COLUMNS($P15:T15)&lt;=$P$8,T13,T12)</f>
        <v>1</v>
      </c>
      <c r="U15">
        <f>IF(COLUMNS($P15:U15)&lt;=$P$8,U13,U12)</f>
        <v>1</v>
      </c>
      <c r="V15">
        <f>IF(COLUMNS($P15:V15)&lt;=$P$8,V13,V12)</f>
        <v>1</v>
      </c>
      <c r="W15">
        <f>IF(COLUMNS($P15:W15)&lt;=$P$8,W13,W12)</f>
        <v>0</v>
      </c>
      <c r="X15">
        <f t="shared" si="0"/>
        <v>111</v>
      </c>
      <c r="Y15">
        <f t="shared" si="1"/>
        <v>51</v>
      </c>
      <c r="Z15" s="10">
        <f t="shared" si="2"/>
        <v>51</v>
      </c>
    </row>
    <row r="16" spans="1:26">
      <c r="O16" s="12" t="s">
        <v>36</v>
      </c>
      <c r="P16">
        <f>IF(COLUMNS($P16:P16)=$P$9,1-P14,P14)</f>
        <v>0</v>
      </c>
      <c r="Q16">
        <f>IF(COLUMNS($P16:Q16)=$P$9,1-Q14,Q14)</f>
        <v>1</v>
      </c>
      <c r="R16" s="19">
        <f>IF(COLUMNS($P16:R16)=$P$9,1-R14,R14)</f>
        <v>1</v>
      </c>
      <c r="S16">
        <f>IF(COLUMNS($P16:S16)=$P$9,1-S14,S14)</f>
        <v>1</v>
      </c>
      <c r="T16">
        <f>IF(COLUMNS($P16:T16)=$P$9,1-T14,T14)</f>
        <v>1</v>
      </c>
      <c r="U16">
        <f>IF(COLUMNS($P16:U16)=$P$9,1-U14,U14)</f>
        <v>0</v>
      </c>
      <c r="V16">
        <f>IF(COLUMNS($P16:V16)=$P$9,1-V14,V14)</f>
        <v>1</v>
      </c>
      <c r="W16">
        <f>IF(COLUMNS($P16:W16)=$P$9,1-W14,W14)</f>
        <v>0</v>
      </c>
      <c r="X16">
        <f t="shared" si="0"/>
        <v>89</v>
      </c>
      <c r="Y16">
        <f t="shared" si="1"/>
        <v>42</v>
      </c>
      <c r="Z16" s="10">
        <f t="shared" si="2"/>
        <v>42</v>
      </c>
    </row>
    <row r="17" spans="1:26">
      <c r="A17" s="40" t="s">
        <v>37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O17" s="4" t="s">
        <v>38</v>
      </c>
      <c r="P17" s="11">
        <f>INDEX($P$12:$P$16,$S$10)</f>
        <v>1</v>
      </c>
      <c r="Q17" s="11">
        <f>INDEX($Q$12:$Q$16,$S$10)</f>
        <v>0</v>
      </c>
      <c r="R17" s="11">
        <f>INDEX($R$12:$R$16,$S$10)</f>
        <v>1</v>
      </c>
      <c r="S17" s="11">
        <f>INDEX($S$12:$S$16,$S$10)</f>
        <v>1</v>
      </c>
      <c r="T17" s="11">
        <f>INDEX($T$12:$T$16,$S$10)</f>
        <v>1</v>
      </c>
      <c r="U17" s="11">
        <f>INDEX($U$12:$U$16,$S$10)</f>
        <v>1</v>
      </c>
      <c r="V17" s="11">
        <f>INDEX($V$12:$V$16,$S$10)</f>
        <v>1</v>
      </c>
      <c r="W17" s="11">
        <f>INDEX($W$12:$W$16,$S$10)</f>
        <v>0</v>
      </c>
      <c r="X17" s="11">
        <f t="shared" si="0"/>
        <v>111</v>
      </c>
      <c r="Y17" s="11">
        <f t="shared" si="1"/>
        <v>51</v>
      </c>
      <c r="Z17" s="2">
        <f t="shared" si="2"/>
        <v>51</v>
      </c>
    </row>
    <row r="18" spans="1:26">
      <c r="A18" s="7" t="s">
        <v>39</v>
      </c>
      <c r="B18" s="8" t="s">
        <v>19</v>
      </c>
      <c r="C18" s="8" t="s">
        <v>20</v>
      </c>
      <c r="D18" s="8" t="s">
        <v>21</v>
      </c>
      <c r="E18" s="8" t="s">
        <v>22</v>
      </c>
      <c r="F18" s="8" t="s">
        <v>23</v>
      </c>
      <c r="G18" s="8" t="s">
        <v>24</v>
      </c>
      <c r="H18" s="8" t="s">
        <v>25</v>
      </c>
      <c r="I18" s="8" t="s">
        <v>26</v>
      </c>
      <c r="J18" s="17" t="s">
        <v>7</v>
      </c>
      <c r="K18" s="8" t="s">
        <v>8</v>
      </c>
      <c r="L18" s="8" t="s">
        <v>27</v>
      </c>
      <c r="M18" s="9" t="s">
        <v>40</v>
      </c>
    </row>
    <row r="19" spans="1:26">
      <c r="A19" s="13" t="s">
        <v>41</v>
      </c>
      <c r="B19" s="15">
        <v>1</v>
      </c>
      <c r="C19" s="15">
        <v>0</v>
      </c>
      <c r="D19" s="15">
        <v>1</v>
      </c>
      <c r="E19" s="15">
        <v>1</v>
      </c>
      <c r="F19" s="15">
        <v>0</v>
      </c>
      <c r="G19" s="15">
        <v>1</v>
      </c>
      <c r="H19" s="15">
        <v>0</v>
      </c>
      <c r="I19" s="15">
        <v>0</v>
      </c>
      <c r="J19">
        <f t="shared" ref="J19:J24" si="3">B19*$C$8+C19*$C$9+D19*$C$10+E19*$C$11+F19*$C$12+G19*$C$13+H19*$C$14+I19*$C$15</f>
        <v>62</v>
      </c>
      <c r="K19">
        <f t="shared" ref="K19:K24" si="4">B19*$D$8+C19*$D$9+D19*$D$10+E19*$D$11+F19*$D$12+G19*$D$13+H19*$D$14+I19*$D$15</f>
        <v>29</v>
      </c>
      <c r="L19">
        <f t="shared" ref="L19:L24" si="5">IF(J19&lt;=$B$3,K19,K19-$B$4*(J19-$B$3))</f>
        <v>29</v>
      </c>
      <c r="M19" s="10">
        <f t="shared" ref="M19:M24" si="6">RANK(L19,$L$19:$L$24,0)</f>
        <v>5</v>
      </c>
    </row>
    <row r="20" spans="1:26">
      <c r="A20" s="13" t="s">
        <v>42</v>
      </c>
      <c r="B20" s="15">
        <v>0</v>
      </c>
      <c r="C20" s="15">
        <v>1</v>
      </c>
      <c r="D20" s="15">
        <v>1</v>
      </c>
      <c r="E20" s="15">
        <v>0</v>
      </c>
      <c r="F20" s="15">
        <v>1</v>
      </c>
      <c r="G20" s="15">
        <v>0</v>
      </c>
      <c r="H20" s="15">
        <v>1</v>
      </c>
      <c r="I20" s="15">
        <v>0</v>
      </c>
      <c r="J20">
        <f t="shared" si="3"/>
        <v>79</v>
      </c>
      <c r="K20">
        <f t="shared" si="4"/>
        <v>37</v>
      </c>
      <c r="L20">
        <f t="shared" si="5"/>
        <v>37</v>
      </c>
      <c r="M20" s="10">
        <f t="shared" si="6"/>
        <v>4</v>
      </c>
      <c r="O20" s="30" t="s">
        <v>43</v>
      </c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>
      <c r="A21" s="13" t="s">
        <v>44</v>
      </c>
      <c r="B21" s="15">
        <v>1</v>
      </c>
      <c r="C21" s="15">
        <v>1</v>
      </c>
      <c r="D21" s="15">
        <v>0</v>
      </c>
      <c r="E21" s="15">
        <v>1</v>
      </c>
      <c r="F21" s="15">
        <v>0</v>
      </c>
      <c r="G21" s="15">
        <v>1</v>
      </c>
      <c r="H21" s="15">
        <v>0</v>
      </c>
      <c r="I21" s="15">
        <v>1</v>
      </c>
      <c r="J21">
        <f t="shared" si="3"/>
        <v>84</v>
      </c>
      <c r="K21">
        <f t="shared" si="4"/>
        <v>39</v>
      </c>
      <c r="L21">
        <f t="shared" si="5"/>
        <v>39</v>
      </c>
      <c r="M21" s="10">
        <f t="shared" si="6"/>
        <v>3</v>
      </c>
      <c r="O21" s="25" t="s">
        <v>45</v>
      </c>
      <c r="P21" s="32" t="s">
        <v>46</v>
      </c>
      <c r="Q21" s="32"/>
      <c r="R21" s="32"/>
      <c r="S21" s="32"/>
      <c r="T21" s="32"/>
      <c r="U21" s="32"/>
      <c r="V21" s="32"/>
      <c r="W21" s="32"/>
      <c r="X21" s="32"/>
      <c r="Y21" s="32"/>
      <c r="Z21" s="33"/>
    </row>
    <row r="22" spans="1:26">
      <c r="A22" s="13" t="s">
        <v>47</v>
      </c>
      <c r="B22" s="15">
        <v>1</v>
      </c>
      <c r="C22" s="15">
        <v>0</v>
      </c>
      <c r="D22" s="15">
        <v>1</v>
      </c>
      <c r="E22" s="15">
        <v>1</v>
      </c>
      <c r="F22" s="15">
        <v>1</v>
      </c>
      <c r="G22" s="15">
        <v>0</v>
      </c>
      <c r="H22" s="15">
        <v>1</v>
      </c>
      <c r="I22" s="15">
        <v>0</v>
      </c>
      <c r="J22">
        <f t="shared" si="3"/>
        <v>86</v>
      </c>
      <c r="K22">
        <f t="shared" si="4"/>
        <v>41</v>
      </c>
      <c r="L22">
        <f t="shared" si="5"/>
        <v>41</v>
      </c>
      <c r="M22" s="10">
        <f t="shared" si="6"/>
        <v>2</v>
      </c>
      <c r="O22" s="26" t="s">
        <v>48</v>
      </c>
      <c r="P22" s="34" t="s">
        <v>49</v>
      </c>
      <c r="Q22" s="34"/>
      <c r="R22" s="34"/>
      <c r="S22" s="34"/>
      <c r="T22" s="34"/>
      <c r="U22" s="34"/>
      <c r="V22" s="34"/>
      <c r="W22" s="34"/>
      <c r="X22" s="34"/>
      <c r="Y22" s="34"/>
      <c r="Z22" s="35"/>
    </row>
    <row r="23" spans="1:26">
      <c r="A23" s="13" t="s">
        <v>50</v>
      </c>
      <c r="B23" s="15">
        <v>0</v>
      </c>
      <c r="C23" s="15">
        <v>1</v>
      </c>
      <c r="D23" s="15">
        <v>0</v>
      </c>
      <c r="E23" s="15">
        <v>1</v>
      </c>
      <c r="F23" s="15">
        <v>1</v>
      </c>
      <c r="G23" s="15">
        <v>1</v>
      </c>
      <c r="H23" s="15">
        <v>1</v>
      </c>
      <c r="I23" s="15">
        <v>0</v>
      </c>
      <c r="J23">
        <f t="shared" si="3"/>
        <v>102</v>
      </c>
      <c r="K23">
        <f t="shared" si="4"/>
        <v>46</v>
      </c>
      <c r="L23">
        <f t="shared" si="5"/>
        <v>46</v>
      </c>
      <c r="M23" s="10">
        <f t="shared" si="6"/>
        <v>1</v>
      </c>
      <c r="O23" s="26" t="s">
        <v>51</v>
      </c>
      <c r="P23" s="34" t="s">
        <v>52</v>
      </c>
      <c r="Q23" s="34"/>
      <c r="R23" s="34"/>
      <c r="S23" s="34"/>
      <c r="T23" s="34"/>
      <c r="U23" s="34"/>
      <c r="V23" s="34"/>
      <c r="W23" s="34"/>
      <c r="X23" s="34"/>
      <c r="Y23" s="34"/>
      <c r="Z23" s="35"/>
    </row>
    <row r="24" spans="1:26">
      <c r="A24" s="14" t="s">
        <v>53</v>
      </c>
      <c r="B24" s="16">
        <v>1</v>
      </c>
      <c r="C24" s="16">
        <v>1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1">
        <f t="shared" si="3"/>
        <v>145</v>
      </c>
      <c r="K24" s="11">
        <f t="shared" si="4"/>
        <v>67</v>
      </c>
      <c r="L24" s="11">
        <f t="shared" si="5"/>
        <v>-58</v>
      </c>
      <c r="M24" s="2">
        <f t="shared" si="6"/>
        <v>6</v>
      </c>
      <c r="O24" s="26" t="s">
        <v>54</v>
      </c>
      <c r="P24" s="34" t="s">
        <v>55</v>
      </c>
      <c r="Q24" s="34"/>
      <c r="R24" s="34"/>
      <c r="S24" s="34"/>
      <c r="T24" s="34"/>
      <c r="U24" s="34"/>
      <c r="V24" s="34"/>
      <c r="W24" s="34"/>
      <c r="X24" s="34"/>
      <c r="Y24" s="34"/>
      <c r="Z24" s="35"/>
    </row>
    <row r="25" spans="1:26">
      <c r="A25" s="15"/>
      <c r="B25" s="15"/>
      <c r="C25" s="15"/>
      <c r="D25" s="15"/>
      <c r="E25" s="15"/>
      <c r="F25" s="15"/>
      <c r="G25" s="15"/>
      <c r="H25" s="15"/>
      <c r="I25" s="15"/>
      <c r="O25" s="27" t="s">
        <v>56</v>
      </c>
      <c r="P25" s="28" t="s">
        <v>57</v>
      </c>
      <c r="Q25" s="28"/>
      <c r="R25" s="28"/>
      <c r="S25" s="28"/>
      <c r="T25" s="28"/>
      <c r="U25" s="28"/>
      <c r="V25" s="28"/>
      <c r="W25" s="28"/>
      <c r="X25" s="28"/>
      <c r="Y25" s="28"/>
      <c r="Z25" s="29"/>
    </row>
    <row r="27" spans="1:26">
      <c r="A27" s="41" t="s">
        <v>58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26">
      <c r="A28" s="25" t="s">
        <v>45</v>
      </c>
      <c r="B28" s="32" t="s">
        <v>59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3"/>
    </row>
    <row r="29" spans="1:26">
      <c r="A29" s="26" t="s">
        <v>48</v>
      </c>
      <c r="B29" s="34" t="s">
        <v>60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5"/>
    </row>
    <row r="30" spans="1:26">
      <c r="A30" s="26" t="s">
        <v>51</v>
      </c>
      <c r="B30" s="34" t="s">
        <v>61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5"/>
    </row>
    <row r="31" spans="1:26">
      <c r="A31" s="26" t="s">
        <v>54</v>
      </c>
      <c r="B31" s="34" t="s">
        <v>62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5"/>
    </row>
    <row r="32" spans="1:26">
      <c r="A32" s="26" t="s">
        <v>56</v>
      </c>
      <c r="B32" s="34" t="s">
        <v>63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5"/>
    </row>
    <row r="33" spans="1:13">
      <c r="A33" s="27" t="s">
        <v>64</v>
      </c>
      <c r="B33" s="28" t="s">
        <v>65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9"/>
    </row>
  </sheetData>
  <mergeCells count="17">
    <mergeCell ref="A1:Z1"/>
    <mergeCell ref="A6:D6"/>
    <mergeCell ref="A17:M17"/>
    <mergeCell ref="O6:Z6"/>
    <mergeCell ref="A27:M27"/>
    <mergeCell ref="B33:M33"/>
    <mergeCell ref="O20:Z20"/>
    <mergeCell ref="P21:Z21"/>
    <mergeCell ref="P22:Z22"/>
    <mergeCell ref="P23:Z23"/>
    <mergeCell ref="P24:Z24"/>
    <mergeCell ref="P25:Z25"/>
    <mergeCell ref="B28:M28"/>
    <mergeCell ref="B29:M29"/>
    <mergeCell ref="B30:M30"/>
    <mergeCell ref="B31:M31"/>
    <mergeCell ref="B32:M32"/>
  </mergeCells>
  <conditionalFormatting sqref="J19:J24">
    <cfRule type="cellIs" dxfId="2" priority="1" operator="greaterThan">
      <formula>$B$3</formula>
    </cfRule>
  </conditionalFormatting>
  <conditionalFormatting sqref="L19:L24">
    <cfRule type="dataBar" priority="2">
      <dataBar>
        <cfvo type="min"/>
        <cfvo type="max"/>
        <color theme="9" tint="0.39997558519241921"/>
      </dataBar>
    </cfRule>
    <cfRule type="dataBar" priority="6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{35DE048E-69A0-8BA1-2967-0AB61C9CDF33}</x14:id>
        </ext>
      </extLst>
    </cfRule>
  </conditionalFormatting>
  <conditionalFormatting sqref="M19:M24">
    <cfRule type="cellIs" dxfId="1" priority="3" operator="lessThanOrEqual">
      <formula>2</formula>
    </cfRule>
  </conditionalFormatting>
  <conditionalFormatting sqref="X12:X17">
    <cfRule type="cellIs" dxfId="0" priority="5" operator="greaterThan">
      <formula>$B$3</formula>
    </cfRule>
  </conditionalFormatting>
  <conditionalFormatting sqref="Z12:Z17">
    <cfRule type="dataBar" priority="4">
      <dataBar>
        <cfvo type="min"/>
        <cfvo type="max"/>
        <color rgb="FF70AD47"/>
      </dataBar>
    </cfRule>
    <cfRule type="dataBar" priority="7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{18B6DFFD-32EC-748E-D1CD-C167089A7854}</x14:id>
        </ext>
      </extLst>
    </cfRule>
  </conditionalFormatting>
  <dataValidations count="2">
    <dataValidation type="list" sqref="B19:I24" xr:uid="{00000000-0002-0000-0000-000000000000}">
      <formula1>"0,1"</formula1>
    </dataValidation>
    <dataValidation sqref="P8:P9" xr:uid="{00000000-0002-0000-0000-000001000000}">
      <formula1>1</formula1>
      <formula2>8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DE048E-69A0-8BA1-2967-0AB61C9CDF33}">
            <x14:dataBar>
              <x14:cfvo type="min"/>
              <x14:cfvo type="max"/>
              <x14:negativeFillColor auto="1"/>
              <x14:axisColor auto="1"/>
            </x14:dataBar>
          </x14:cfRule>
          <xm:sqref>L19:L24</xm:sqref>
        </x14:conditionalFormatting>
        <x14:conditionalFormatting xmlns:xm="http://schemas.microsoft.com/office/excel/2006/main">
          <x14:cfRule type="dataBar" id="{18B6DFFD-32EC-748E-D1CD-C167089A7854}">
            <x14:dataBar>
              <x14:cfvo type="min"/>
              <x14:cfvo type="max"/>
              <x14:negativeFillColor auto="1"/>
              <x14:axisColor auto="1"/>
            </x14:dataBar>
          </x14:cfRule>
          <xm:sqref>Z12:Z17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Tacildo de Souza Araújo</cp:lastModifiedBy>
  <dcterms:modified xsi:type="dcterms:W3CDTF">2026-05-06T01:34:12Z</dcterms:modified>
</cp:coreProperties>
</file>